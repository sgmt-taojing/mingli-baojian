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盘点清单" sheetId="1" state="visible" r:id="rId1"/>
    <sheet xmlns:r="http://schemas.openxmlformats.org/officeDocument/2006/relationships" name="访谈进度" sheetId="2" state="visible" r:id="rId2"/>
    <sheet xmlns:r="http://schemas.openxmlformats.org/officeDocument/2006/relationships" name="评分说明" sheetId="3" state="visible" r:id="rId3"/>
    <sheet xmlns:r="http://schemas.openxmlformats.org/officeDocument/2006/relationships" name="选项字典" sheetId="4" state="visible" r:id="rId4"/>
  </sheets>
  <definedNames/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color rgb="000000CC"/>
      <sz val="10"/>
    </font>
    <font>
      <name val="微软雅黑"/>
      <color rgb="00000000"/>
      <sz val="10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13" customWidth="1" min="11" max="11"/>
    <col width="12" customWidth="1" min="12" max="12"/>
    <col width="13" customWidth="1" min="13" max="13"/>
    <col width="10" customWidth="1" min="14" max="14"/>
    <col width="10" customWidth="1" min="15" max="15"/>
    <col width="10" customWidth="1" min="16" max="16"/>
    <col width="13" customWidth="1" min="17" max="17"/>
    <col width="10" customWidth="1" min="18" max="18"/>
    <col width="13" customWidth="1" min="19" max="19"/>
    <col width="24" customWidth="1" min="20" max="20"/>
  </cols>
  <sheetData>
    <row r="1" ht="26" customHeight="1">
      <c r="A1" s="1" t="inlineStr">
        <is>
          <t>师承采集对象盘点表</t>
        </is>
      </c>
    </row>
    <row r="2">
      <c r="A2" s="2" t="inlineStr">
        <is>
          <t>蓝色字体列=手工填写；黑色列=自动计算。优先级得分=不可替代性×时限风险×缺口匹配度；≥60 为 P0（本季度必采），30–59 为 P1，&lt;30 为 P2。示例行仅作演示，正式登记时请删除。</t>
        </is>
      </c>
    </row>
    <row r="4">
      <c r="A4" s="3" t="inlineStr">
        <is>
          <t>expert_id</t>
        </is>
      </c>
      <c r="B4" s="3" t="inlineStr">
        <is>
          <t>姓名</t>
        </is>
      </c>
      <c r="C4" s="3" t="inlineStr">
        <is>
          <t>领域</t>
        </is>
      </c>
      <c r="D4" s="3" t="inlineStr">
        <is>
          <t>流派</t>
        </is>
      </c>
      <c r="E4" s="3" t="inlineStr">
        <is>
          <t>师从何人</t>
        </is>
      </c>
      <c r="F4" s="3" t="inlineStr">
        <is>
          <t>第几代传人</t>
        </is>
      </c>
      <c r="G4" s="3" t="inlineStr">
        <is>
          <t>年龄</t>
        </is>
      </c>
      <c r="H4" s="3" t="inlineStr">
        <is>
          <t>健康状况</t>
        </is>
      </c>
      <c r="I4" s="3" t="inlineStr">
        <is>
          <t>可及性</t>
        </is>
      </c>
      <c r="J4" s="3" t="inlineStr">
        <is>
          <t>预计可访谈次数</t>
        </is>
      </c>
      <c r="K4" s="3" t="inlineStr">
        <is>
          <t>不可替代性(1-5)</t>
        </is>
      </c>
      <c r="L4" s="3" t="inlineStr">
        <is>
          <t>时限风险(1-5)</t>
        </is>
      </c>
      <c r="M4" s="3" t="inlineStr">
        <is>
          <t>缺口匹配度(1-5)</t>
        </is>
      </c>
      <c r="N4" s="3" t="inlineStr">
        <is>
          <t>优先级得分</t>
        </is>
      </c>
      <c r="O4" s="3" t="inlineStr">
        <is>
          <t>优先级等级</t>
        </is>
      </c>
      <c r="P4" s="3" t="inlineStr">
        <is>
          <t>授权状态</t>
        </is>
      </c>
      <c r="Q4" s="3" t="inlineStr">
        <is>
          <t>访谈状态</t>
        </is>
      </c>
      <c r="R4" s="3" t="inlineStr">
        <is>
          <t>责任人</t>
        </is>
      </c>
      <c r="S4" s="3" t="inlineStr">
        <is>
          <t>目标完成日期</t>
        </is>
      </c>
      <c r="T4" s="3" t="inlineStr">
        <is>
          <t>备注</t>
        </is>
      </c>
    </row>
    <row r="5">
      <c r="A5" s="4" t="inlineStr">
        <is>
          <t>exp-tcm-示例-001</t>
        </is>
      </c>
      <c r="B5" s="4" t="inlineStr">
        <is>
          <t>张某</t>
        </is>
      </c>
      <c r="C5" s="4" t="inlineStr">
        <is>
          <t>中医-内科</t>
        </is>
      </c>
      <c r="D5" s="4" t="inlineStr">
        <is>
          <t>孟河医派</t>
        </is>
      </c>
      <c r="E5" s="4" t="inlineStr">
        <is>
          <t>费某</t>
        </is>
      </c>
      <c r="F5" s="4" t="n">
        <v>3</v>
      </c>
      <c r="G5" s="4" t="n">
        <v>82</v>
      </c>
      <c r="H5" s="4" t="inlineStr">
        <is>
          <t>中</t>
        </is>
      </c>
      <c r="I5" s="4" t="inlineStr">
        <is>
          <t>愿意</t>
        </is>
      </c>
      <c r="J5" s="4" t="n">
        <v>4</v>
      </c>
      <c r="K5" s="4" t="n">
        <v>5</v>
      </c>
      <c r="L5" s="4" t="n">
        <v>5</v>
      </c>
      <c r="M5" s="4" t="n">
        <v>4</v>
      </c>
      <c r="N5" s="5">
        <f>IF(COUNT(K5:M5)=3,K5*L5*M5,"")</f>
        <v/>
      </c>
      <c r="O5" s="5">
        <f>IF(N5="","",IF(N5&gt;=60,"P0",IF(N5&gt;=30,"P1","P2")))</f>
        <v/>
      </c>
      <c r="P5" s="4" t="inlineStr">
        <is>
          <t>已签</t>
        </is>
      </c>
      <c r="Q5" s="4" t="inlineStr">
        <is>
          <t>进行中</t>
        </is>
      </c>
      <c r="R5" s="4" t="inlineStr">
        <is>
          <t>王访谈员</t>
        </is>
      </c>
      <c r="S5" s="4" t="inlineStr">
        <is>
          <t>2026-11-30</t>
        </is>
      </c>
      <c r="T5" s="4" t="inlineStr">
        <is>
          <t>示例：P0 专家</t>
        </is>
      </c>
    </row>
    <row r="6">
      <c r="A6" s="4" t="inlineStr">
        <is>
          <t>exp-ml-示例-001</t>
        </is>
      </c>
      <c r="B6" s="4" t="inlineStr">
        <is>
          <t>李某</t>
        </is>
      </c>
      <c r="C6" s="4" t="inlineStr">
        <is>
          <t>命理-子平</t>
        </is>
      </c>
      <c r="D6" s="4" t="inlineStr">
        <is>
          <t>盲派</t>
        </is>
      </c>
      <c r="E6" s="4" t="inlineStr">
        <is>
          <t>陈某</t>
        </is>
      </c>
      <c r="F6" s="4" t="n">
        <v>2</v>
      </c>
      <c r="G6" s="4" t="n">
        <v>76</v>
      </c>
      <c r="H6" s="4" t="inlineStr">
        <is>
          <t>好</t>
        </is>
      </c>
      <c r="I6" s="4" t="inlineStr">
        <is>
          <t>待定</t>
        </is>
      </c>
      <c r="J6" s="4" t="n">
        <v>2</v>
      </c>
      <c r="K6" s="4" t="n">
        <v>4</v>
      </c>
      <c r="L6" s="4" t="n">
        <v>4</v>
      </c>
      <c r="M6" s="4" t="n">
        <v>3</v>
      </c>
      <c r="N6" s="5">
        <f>IF(COUNT(K6:M6)=3,K6*L6*M6,"")</f>
        <v/>
      </c>
      <c r="O6" s="5">
        <f>IF(N6="","",IF(N6&gt;=60,"P0",IF(N6&gt;=30,"P1","P2")))</f>
        <v/>
      </c>
      <c r="P6" s="4" t="inlineStr">
        <is>
          <t>未签</t>
        </is>
      </c>
      <c r="Q6" s="4" t="inlineStr">
        <is>
          <t>待启动</t>
        </is>
      </c>
      <c r="R6" s="4" t="inlineStr">
        <is>
          <t>赵访谈员</t>
        </is>
      </c>
      <c r="S6" s="4" t="inlineStr">
        <is>
          <t>2026-12-31</t>
        </is>
      </c>
      <c r="T6" s="4" t="inlineStr">
        <is>
          <t>示例：P1 专家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IF(COUNT(K7:M7)=3,K7*L7*M7,"")</f>
        <v/>
      </c>
      <c r="O7" s="5">
        <f>IF(N7="","",IF(N7&gt;=60,"P0",IF(N7&gt;=30,"P1","P2")))</f>
        <v/>
      </c>
      <c r="P7" s="4" t="n"/>
      <c r="Q7" s="4" t="n"/>
      <c r="R7" s="4" t="n"/>
      <c r="S7" s="4" t="n"/>
      <c r="T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>
        <f>IF(COUNT(K8:M8)=3,K8*L8*M8,"")</f>
        <v/>
      </c>
      <c r="O8" s="5">
        <f>IF(N8="","",IF(N8&gt;=60,"P0",IF(N8&gt;=30,"P1","P2")))</f>
        <v/>
      </c>
      <c r="P8" s="4" t="n"/>
      <c r="Q8" s="4" t="n"/>
      <c r="R8" s="4" t="n"/>
      <c r="S8" s="4" t="n"/>
      <c r="T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IF(COUNT(K9:M9)=3,K9*L9*M9,"")</f>
        <v/>
      </c>
      <c r="O9" s="5">
        <f>IF(N9="","",IF(N9&gt;=60,"P0",IF(N9&gt;=30,"P1","P2")))</f>
        <v/>
      </c>
      <c r="P9" s="4" t="n"/>
      <c r="Q9" s="4" t="n"/>
      <c r="R9" s="4" t="n"/>
      <c r="S9" s="4" t="n"/>
      <c r="T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>
        <f>IF(COUNT(K10:M10)=3,K10*L10*M10,"")</f>
        <v/>
      </c>
      <c r="O10" s="5">
        <f>IF(N10="","",IF(N10&gt;=60,"P0",IF(N10&gt;=30,"P1","P2")))</f>
        <v/>
      </c>
      <c r="P10" s="4" t="n"/>
      <c r="Q10" s="4" t="n"/>
      <c r="R10" s="4" t="n"/>
      <c r="S10" s="4" t="n"/>
      <c r="T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IF(COUNT(K11:M11)=3,K11*L11*M11,"")</f>
        <v/>
      </c>
      <c r="O11" s="5">
        <f>IF(N11="","",IF(N11&gt;=60,"P0",IF(N11&gt;=30,"P1","P2")))</f>
        <v/>
      </c>
      <c r="P11" s="4" t="n"/>
      <c r="Q11" s="4" t="n"/>
      <c r="R11" s="4" t="n"/>
      <c r="S11" s="4" t="n"/>
      <c r="T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>
        <f>IF(COUNT(K12:M12)=3,K12*L12*M12,"")</f>
        <v/>
      </c>
      <c r="O12" s="5">
        <f>IF(N12="","",IF(N12&gt;=60,"P0",IF(N12&gt;=30,"P1","P2")))</f>
        <v/>
      </c>
      <c r="P12" s="4" t="n"/>
      <c r="Q12" s="4" t="n"/>
      <c r="R12" s="4" t="n"/>
      <c r="S12" s="4" t="n"/>
      <c r="T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IF(COUNT(K13:M13)=3,K13*L13*M13,"")</f>
        <v/>
      </c>
      <c r="O13" s="5">
        <f>IF(N13="","",IF(N13&gt;=60,"P0",IF(N13&gt;=30,"P1","P2")))</f>
        <v/>
      </c>
      <c r="P13" s="4" t="n"/>
      <c r="Q13" s="4" t="n"/>
      <c r="R13" s="4" t="n"/>
      <c r="S13" s="4" t="n"/>
      <c r="T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>
        <f>IF(COUNT(K14:M14)=3,K14*L14*M14,"")</f>
        <v/>
      </c>
      <c r="O14" s="5">
        <f>IF(N14="","",IF(N14&gt;=60,"P0",IF(N14&gt;=30,"P1","P2")))</f>
        <v/>
      </c>
      <c r="P14" s="4" t="n"/>
      <c r="Q14" s="4" t="n"/>
      <c r="R14" s="4" t="n"/>
      <c r="S14" s="4" t="n"/>
      <c r="T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IF(COUNT(K15:M15)=3,K15*L15*M15,"")</f>
        <v/>
      </c>
      <c r="O15" s="5">
        <f>IF(N15="","",IF(N15&gt;=60,"P0",IF(N15&gt;=30,"P1","P2")))</f>
        <v/>
      </c>
      <c r="P15" s="4" t="n"/>
      <c r="Q15" s="4" t="n"/>
      <c r="R15" s="4" t="n"/>
      <c r="S15" s="4" t="n"/>
      <c r="T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>
        <f>IF(COUNT(K16:M16)=3,K16*L16*M16,"")</f>
        <v/>
      </c>
      <c r="O16" s="5">
        <f>IF(N16="","",IF(N16&gt;=60,"P0",IF(N16&gt;=30,"P1","P2")))</f>
        <v/>
      </c>
      <c r="P16" s="4" t="n"/>
      <c r="Q16" s="4" t="n"/>
      <c r="R16" s="4" t="n"/>
      <c r="S16" s="4" t="n"/>
      <c r="T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IF(COUNT(K17:M17)=3,K17*L17*M17,"")</f>
        <v/>
      </c>
      <c r="O17" s="5">
        <f>IF(N17="","",IF(N17&gt;=60,"P0",IF(N17&gt;=30,"P1","P2")))</f>
        <v/>
      </c>
      <c r="P17" s="4" t="n"/>
      <c r="Q17" s="4" t="n"/>
      <c r="R17" s="4" t="n"/>
      <c r="S17" s="4" t="n"/>
      <c r="T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5">
        <f>IF(COUNT(K18:M18)=3,K18*L18*M18,"")</f>
        <v/>
      </c>
      <c r="O18" s="5">
        <f>IF(N18="","",IF(N18&gt;=60,"P0",IF(N18&gt;=30,"P1","P2")))</f>
        <v/>
      </c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IF(COUNT(K19:M19)=3,K19*L19*M19,"")</f>
        <v/>
      </c>
      <c r="O19" s="5">
        <f>IF(N19="","",IF(N19&gt;=60,"P0",IF(N19&gt;=30,"P1","P2")))</f>
        <v/>
      </c>
      <c r="P19" s="4" t="n"/>
      <c r="Q19" s="4" t="n"/>
      <c r="R19" s="4" t="n"/>
      <c r="S19" s="4" t="n"/>
      <c r="T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5">
        <f>IF(COUNT(K20:M20)=3,K20*L20*M20,"")</f>
        <v/>
      </c>
      <c r="O20" s="5">
        <f>IF(N20="","",IF(N20&gt;=60,"P0",IF(N20&gt;=30,"P1","P2")))</f>
        <v/>
      </c>
      <c r="P20" s="4" t="n"/>
      <c r="Q20" s="4" t="n"/>
      <c r="R20" s="4" t="n"/>
      <c r="S20" s="4" t="n"/>
      <c r="T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IF(COUNT(K21:M21)=3,K21*L21*M21,"")</f>
        <v/>
      </c>
      <c r="O21" s="5">
        <f>IF(N21="","",IF(N21&gt;=60,"P0",IF(N21&gt;=30,"P1","P2")))</f>
        <v/>
      </c>
      <c r="P21" s="4" t="n"/>
      <c r="Q21" s="4" t="n"/>
      <c r="R21" s="4" t="n"/>
      <c r="S21" s="4" t="n"/>
      <c r="T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>
        <f>IF(COUNT(K22:M22)=3,K22*L22*M22,"")</f>
        <v/>
      </c>
      <c r="O22" s="5">
        <f>IF(N22="","",IF(N22&gt;=60,"P0",IF(N22&gt;=30,"P1","P2")))</f>
        <v/>
      </c>
      <c r="P22" s="4" t="n"/>
      <c r="Q22" s="4" t="n"/>
      <c r="R22" s="4" t="n"/>
      <c r="S22" s="4" t="n"/>
      <c r="T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IF(COUNT(K23:M23)=3,K23*L23*M23,"")</f>
        <v/>
      </c>
      <c r="O23" s="5">
        <f>IF(N23="","",IF(N23&gt;=60,"P0",IF(N23&gt;=30,"P1","P2")))</f>
        <v/>
      </c>
      <c r="P23" s="4" t="n"/>
      <c r="Q23" s="4" t="n"/>
      <c r="R23" s="4" t="n"/>
      <c r="S23" s="4" t="n"/>
      <c r="T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5">
        <f>IF(COUNT(K24:M24)=3,K24*L24*M24,"")</f>
        <v/>
      </c>
      <c r="O24" s="5">
        <f>IF(N24="","",IF(N24&gt;=60,"P0",IF(N24&gt;=30,"P1","P2")))</f>
        <v/>
      </c>
      <c r="P24" s="4" t="n"/>
      <c r="Q24" s="4" t="n"/>
      <c r="R24" s="4" t="n"/>
      <c r="S24" s="4" t="n"/>
      <c r="T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IF(COUNT(K25:M25)=3,K25*L25*M25,"")</f>
        <v/>
      </c>
      <c r="O25" s="5">
        <f>IF(N25="","",IF(N25&gt;=60,"P0",IF(N25&gt;=30,"P1","P2")))</f>
        <v/>
      </c>
      <c r="P25" s="4" t="n"/>
      <c r="Q25" s="4" t="n"/>
      <c r="R25" s="4" t="n"/>
      <c r="S25" s="4" t="n"/>
      <c r="T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5">
        <f>IF(COUNT(K26:M26)=3,K26*L26*M26,"")</f>
        <v/>
      </c>
      <c r="O26" s="5">
        <f>IF(N26="","",IF(N26&gt;=60,"P0",IF(N26&gt;=30,"P1","P2")))</f>
        <v/>
      </c>
      <c r="P26" s="4" t="n"/>
      <c r="Q26" s="4" t="n"/>
      <c r="R26" s="4" t="n"/>
      <c r="S26" s="4" t="n"/>
      <c r="T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IF(COUNT(K27:M27)=3,K27*L27*M27,"")</f>
        <v/>
      </c>
      <c r="O27" s="5">
        <f>IF(N27="","",IF(N27&gt;=60,"P0",IF(N27&gt;=30,"P1","P2")))</f>
        <v/>
      </c>
      <c r="P27" s="4" t="n"/>
      <c r="Q27" s="4" t="n"/>
      <c r="R27" s="4" t="n"/>
      <c r="S27" s="4" t="n"/>
      <c r="T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>
        <f>IF(COUNT(K28:M28)=3,K28*L28*M28,"")</f>
        <v/>
      </c>
      <c r="O28" s="5">
        <f>IF(N28="","",IF(N28&gt;=60,"P0",IF(N28&gt;=30,"P1","P2")))</f>
        <v/>
      </c>
      <c r="P28" s="4" t="n"/>
      <c r="Q28" s="4" t="n"/>
      <c r="R28" s="4" t="n"/>
      <c r="S28" s="4" t="n"/>
      <c r="T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IF(COUNT(K29:M29)=3,K29*L29*M29,"")</f>
        <v/>
      </c>
      <c r="O29" s="5">
        <f>IF(N29="","",IF(N29&gt;=60,"P0",IF(N29&gt;=30,"P1","P2")))</f>
        <v/>
      </c>
      <c r="P29" s="4" t="n"/>
      <c r="Q29" s="4" t="n"/>
      <c r="R29" s="4" t="n"/>
      <c r="S29" s="4" t="n"/>
      <c r="T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5">
        <f>IF(COUNT(K30:M30)=3,K30*L30*M30,"")</f>
        <v/>
      </c>
      <c r="O30" s="5">
        <f>IF(N30="","",IF(N30&gt;=60,"P0",IF(N30&gt;=30,"P1","P2")))</f>
        <v/>
      </c>
      <c r="P30" s="4" t="n"/>
      <c r="Q30" s="4" t="n"/>
      <c r="R30" s="4" t="n"/>
      <c r="S30" s="4" t="n"/>
      <c r="T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IF(COUNT(K31:M31)=3,K31*L31*M31,"")</f>
        <v/>
      </c>
      <c r="O31" s="5">
        <f>IF(N31="","",IF(N31&gt;=60,"P0",IF(N31&gt;=30,"P1","P2")))</f>
        <v/>
      </c>
      <c r="P31" s="4" t="n"/>
      <c r="Q31" s="4" t="n"/>
      <c r="R31" s="4" t="n"/>
      <c r="S31" s="4" t="n"/>
      <c r="T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5">
        <f>IF(COUNT(K32:M32)=3,K32*L32*M32,"")</f>
        <v/>
      </c>
      <c r="O32" s="5">
        <f>IF(N32="","",IF(N32&gt;=60,"P0",IF(N32&gt;=30,"P1","P2")))</f>
        <v/>
      </c>
      <c r="P32" s="4" t="n"/>
      <c r="Q32" s="4" t="n"/>
      <c r="R32" s="4" t="n"/>
      <c r="S32" s="4" t="n"/>
      <c r="T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IF(COUNT(K33:M33)=3,K33*L33*M33,"")</f>
        <v/>
      </c>
      <c r="O33" s="5">
        <f>IF(N33="","",IF(N33&gt;=60,"P0",IF(N33&gt;=30,"P1","P2")))</f>
        <v/>
      </c>
      <c r="P33" s="4" t="n"/>
      <c r="Q33" s="4" t="n"/>
      <c r="R33" s="4" t="n"/>
      <c r="S33" s="4" t="n"/>
      <c r="T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5">
        <f>IF(COUNT(K34:M34)=3,K34*L34*M34,"")</f>
        <v/>
      </c>
      <c r="O34" s="5">
        <f>IF(N34="","",IF(N34&gt;=60,"P0",IF(N34&gt;=30,"P1","P2")))</f>
        <v/>
      </c>
      <c r="P34" s="4" t="n"/>
      <c r="Q34" s="4" t="n"/>
      <c r="R34" s="4" t="n"/>
      <c r="S34" s="4" t="n"/>
      <c r="T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IF(COUNT(K35:M35)=3,K35*L35*M35,"")</f>
        <v/>
      </c>
      <c r="O35" s="5">
        <f>IF(N35="","",IF(N35&gt;=60,"P0",IF(N35&gt;=30,"P1","P2")))</f>
        <v/>
      </c>
      <c r="P35" s="4" t="n"/>
      <c r="Q35" s="4" t="n"/>
      <c r="R35" s="4" t="n"/>
      <c r="S35" s="4" t="n"/>
      <c r="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5">
        <f>IF(COUNT(K36:M36)=3,K36*L36*M36,"")</f>
        <v/>
      </c>
      <c r="O36" s="5">
        <f>IF(N36="","",IF(N36&gt;=60,"P0",IF(N36&gt;=30,"P1","P2")))</f>
        <v/>
      </c>
      <c r="P36" s="4" t="n"/>
      <c r="Q36" s="4" t="n"/>
      <c r="R36" s="4" t="n"/>
      <c r="S36" s="4" t="n"/>
      <c r="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IF(COUNT(K37:M37)=3,K37*L37*M37,"")</f>
        <v/>
      </c>
      <c r="O37" s="5">
        <f>IF(N37="","",IF(N37&gt;=60,"P0",IF(N37&gt;=30,"P1","P2")))</f>
        <v/>
      </c>
      <c r="P37" s="4" t="n"/>
      <c r="Q37" s="4" t="n"/>
      <c r="R37" s="4" t="n"/>
      <c r="S37" s="4" t="n"/>
      <c r="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5">
        <f>IF(COUNT(K38:M38)=3,K38*L38*M38,"")</f>
        <v/>
      </c>
      <c r="O38" s="5">
        <f>IF(N38="","",IF(N38&gt;=60,"P0",IF(N38&gt;=30,"P1","P2")))</f>
        <v/>
      </c>
      <c r="P38" s="4" t="n"/>
      <c r="Q38" s="4" t="n"/>
      <c r="R38" s="4" t="n"/>
      <c r="S38" s="4" t="n"/>
      <c r="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>
        <f>IF(COUNT(K39:M39)=3,K39*L39*M39,"")</f>
        <v/>
      </c>
      <c r="O39" s="5">
        <f>IF(N39="","",IF(N39&gt;=60,"P0",IF(N39&gt;=30,"P1","P2")))</f>
        <v/>
      </c>
      <c r="P39" s="4" t="n"/>
      <c r="Q39" s="4" t="n"/>
      <c r="R39" s="4" t="n"/>
      <c r="S39" s="4" t="n"/>
      <c r="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5">
        <f>IF(COUNT(K40:M40)=3,K40*L40*M40,"")</f>
        <v/>
      </c>
      <c r="O40" s="5">
        <f>IF(N40="","",IF(N40&gt;=60,"P0",IF(N40&gt;=30,"P1","P2")))</f>
        <v/>
      </c>
      <c r="P40" s="4" t="n"/>
      <c r="Q40" s="4" t="n"/>
      <c r="R40" s="4" t="n"/>
      <c r="S40" s="4" t="n"/>
      <c r="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>
        <f>IF(COUNT(K41:M41)=3,K41*L41*M41,"")</f>
        <v/>
      </c>
      <c r="O41" s="5">
        <f>IF(N41="","",IF(N41&gt;=60,"P0",IF(N41&gt;=30,"P1","P2")))</f>
        <v/>
      </c>
      <c r="P41" s="4" t="n"/>
      <c r="Q41" s="4" t="n"/>
      <c r="R41" s="4" t="n"/>
      <c r="S41" s="4" t="n"/>
      <c r="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5">
        <f>IF(COUNT(K42:M42)=3,K42*L42*M42,"")</f>
        <v/>
      </c>
      <c r="O42" s="5">
        <f>IF(N42="","",IF(N42&gt;=60,"P0",IF(N42&gt;=30,"P1","P2")))</f>
        <v/>
      </c>
      <c r="P42" s="4" t="n"/>
      <c r="Q42" s="4" t="n"/>
      <c r="R42" s="4" t="n"/>
      <c r="S42" s="4" t="n"/>
      <c r="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>
        <f>IF(COUNT(K43:M43)=3,K43*L43*M43,"")</f>
        <v/>
      </c>
      <c r="O43" s="5">
        <f>IF(N43="","",IF(N43&gt;=60,"P0",IF(N43&gt;=30,"P1","P2")))</f>
        <v/>
      </c>
      <c r="P43" s="4" t="n"/>
      <c r="Q43" s="4" t="n"/>
      <c r="R43" s="4" t="n"/>
      <c r="S43" s="4" t="n"/>
      <c r="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5">
        <f>IF(COUNT(K44:M44)=3,K44*L44*M44,"")</f>
        <v/>
      </c>
      <c r="O44" s="5">
        <f>IF(N44="","",IF(N44&gt;=60,"P0",IF(N44&gt;=30,"P1","P2")))</f>
        <v/>
      </c>
      <c r="P44" s="4" t="n"/>
      <c r="Q44" s="4" t="n"/>
      <c r="R44" s="4" t="n"/>
      <c r="S44" s="4" t="n"/>
      <c r="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>
        <f>IF(COUNT(K45:M45)=3,K45*L45*M45,"")</f>
        <v/>
      </c>
      <c r="O45" s="5">
        <f>IF(N45="","",IF(N45&gt;=60,"P0",IF(N45&gt;=30,"P1","P2")))</f>
        <v/>
      </c>
      <c r="P45" s="4" t="n"/>
      <c r="Q45" s="4" t="n"/>
      <c r="R45" s="4" t="n"/>
      <c r="S45" s="4" t="n"/>
      <c r="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>
        <f>IF(COUNT(K46:M46)=3,K46*L46*M46,"")</f>
        <v/>
      </c>
      <c r="O46" s="5">
        <f>IF(N46="","",IF(N46&gt;=60,"P0",IF(N46&gt;=30,"P1","P2")))</f>
        <v/>
      </c>
      <c r="P46" s="4" t="n"/>
      <c r="Q46" s="4" t="n"/>
      <c r="R46" s="4" t="n"/>
      <c r="S46" s="4" t="n"/>
      <c r="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>
        <f>IF(COUNT(K47:M47)=3,K47*L47*M47,"")</f>
        <v/>
      </c>
      <c r="O47" s="5">
        <f>IF(N47="","",IF(N47&gt;=60,"P0",IF(N47&gt;=30,"P1","P2")))</f>
        <v/>
      </c>
      <c r="P47" s="4" t="n"/>
      <c r="Q47" s="4" t="n"/>
      <c r="R47" s="4" t="n"/>
      <c r="S47" s="4" t="n"/>
      <c r="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5">
        <f>IF(COUNT(K48:M48)=3,K48*L48*M48,"")</f>
        <v/>
      </c>
      <c r="O48" s="5">
        <f>IF(N48="","",IF(N48&gt;=60,"P0",IF(N48&gt;=30,"P1","P2")))</f>
        <v/>
      </c>
      <c r="P48" s="4" t="n"/>
      <c r="Q48" s="4" t="n"/>
      <c r="R48" s="4" t="n"/>
      <c r="S48" s="4" t="n"/>
      <c r="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>
        <f>IF(COUNT(K49:M49)=3,K49*L49*M49,"")</f>
        <v/>
      </c>
      <c r="O49" s="5">
        <f>IF(N49="","",IF(N49&gt;=60,"P0",IF(N49&gt;=30,"P1","P2")))</f>
        <v/>
      </c>
      <c r="P49" s="4" t="n"/>
      <c r="Q49" s="4" t="n"/>
      <c r="R49" s="4" t="n"/>
      <c r="S49" s="4" t="n"/>
      <c r="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5">
        <f>IF(COUNT(K50:M50)=3,K50*L50*M50,"")</f>
        <v/>
      </c>
      <c r="O50" s="5">
        <f>IF(N50="","",IF(N50&gt;=60,"P0",IF(N50&gt;=30,"P1","P2")))</f>
        <v/>
      </c>
      <c r="P50" s="4" t="n"/>
      <c r="Q50" s="4" t="n"/>
      <c r="R50" s="4" t="n"/>
      <c r="S50" s="4" t="n"/>
      <c r="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>
        <f>IF(COUNT(K51:M51)=3,K51*L51*M51,"")</f>
        <v/>
      </c>
      <c r="O51" s="5">
        <f>IF(N51="","",IF(N51&gt;=60,"P0",IF(N51&gt;=30,"P1","P2")))</f>
        <v/>
      </c>
      <c r="P51" s="4" t="n"/>
      <c r="Q51" s="4" t="n"/>
      <c r="R51" s="4" t="n"/>
      <c r="S51" s="4" t="n"/>
      <c r="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5">
        <f>IF(COUNT(K52:M52)=3,K52*L52*M52,"")</f>
        <v/>
      </c>
      <c r="O52" s="5">
        <f>IF(N52="","",IF(N52&gt;=60,"P0",IF(N52&gt;=30,"P1","P2")))</f>
        <v/>
      </c>
      <c r="P52" s="4" t="n"/>
      <c r="Q52" s="4" t="n"/>
      <c r="R52" s="4" t="n"/>
      <c r="S52" s="4" t="n"/>
      <c r="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>
        <f>IF(COUNT(K53:M53)=3,K53*L53*M53,"")</f>
        <v/>
      </c>
      <c r="O53" s="5">
        <f>IF(N53="","",IF(N53&gt;=60,"P0",IF(N53&gt;=30,"P1","P2")))</f>
        <v/>
      </c>
      <c r="P53" s="4" t="n"/>
      <c r="Q53" s="4" t="n"/>
      <c r="R53" s="4" t="n"/>
      <c r="S53" s="4" t="n"/>
      <c r="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5">
        <f>IF(COUNT(K54:M54)=3,K54*L54*M54,"")</f>
        <v/>
      </c>
      <c r="O54" s="5">
        <f>IF(N54="","",IF(N54&gt;=60,"P0",IF(N54&gt;=30,"P1","P2")))</f>
        <v/>
      </c>
      <c r="P54" s="4" t="n"/>
      <c r="Q54" s="4" t="n"/>
      <c r="R54" s="4" t="n"/>
      <c r="S54" s="4" t="n"/>
      <c r="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>
        <f>IF(COUNT(K55:M55)=3,K55*L55*M55,"")</f>
        <v/>
      </c>
      <c r="O55" s="5">
        <f>IF(N55="","",IF(N55&gt;=60,"P0",IF(N55&gt;=30,"P1","P2")))</f>
        <v/>
      </c>
      <c r="P55" s="4" t="n"/>
      <c r="Q55" s="4" t="n"/>
      <c r="R55" s="4" t="n"/>
      <c r="S55" s="4" t="n"/>
      <c r="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5">
        <f>IF(COUNT(K56:M56)=3,K56*L56*M56,"")</f>
        <v/>
      </c>
      <c r="O56" s="5">
        <f>IF(N56="","",IF(N56&gt;=60,"P0",IF(N56&gt;=30,"P1","P2")))</f>
        <v/>
      </c>
      <c r="P56" s="4" t="n"/>
      <c r="Q56" s="4" t="n"/>
      <c r="R56" s="4" t="n"/>
      <c r="S56" s="4" t="n"/>
      <c r="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>
        <f>IF(COUNT(K57:M57)=3,K57*L57*M57,"")</f>
        <v/>
      </c>
      <c r="O57" s="5">
        <f>IF(N57="","",IF(N57&gt;=60,"P0",IF(N57&gt;=30,"P1","P2")))</f>
        <v/>
      </c>
      <c r="P57" s="4" t="n"/>
      <c r="Q57" s="4" t="n"/>
      <c r="R57" s="4" t="n"/>
      <c r="S57" s="4" t="n"/>
      <c r="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5">
        <f>IF(COUNT(K58:M58)=3,K58*L58*M58,"")</f>
        <v/>
      </c>
      <c r="O58" s="5">
        <f>IF(N58="","",IF(N58&gt;=60,"P0",IF(N58&gt;=30,"P1","P2")))</f>
        <v/>
      </c>
      <c r="P58" s="4" t="n"/>
      <c r="Q58" s="4" t="n"/>
      <c r="R58" s="4" t="n"/>
      <c r="S58" s="4" t="n"/>
      <c r="T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>
        <f>IF(COUNT(K59:M59)=3,K59*L59*M59,"")</f>
        <v/>
      </c>
      <c r="O59" s="5">
        <f>IF(N59="","",IF(N59&gt;=60,"P0",IF(N59&gt;=30,"P1","P2")))</f>
        <v/>
      </c>
      <c r="P59" s="4" t="n"/>
      <c r="Q59" s="4" t="n"/>
      <c r="R59" s="4" t="n"/>
      <c r="S59" s="4" t="n"/>
      <c r="T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5">
        <f>IF(COUNT(K60:M60)=3,K60*L60*M60,"")</f>
        <v/>
      </c>
      <c r="O60" s="5">
        <f>IF(N60="","",IF(N60&gt;=60,"P0",IF(N60&gt;=30,"P1","P2")))</f>
        <v/>
      </c>
      <c r="P60" s="4" t="n"/>
      <c r="Q60" s="4" t="n"/>
      <c r="R60" s="4" t="n"/>
      <c r="S60" s="4" t="n"/>
      <c r="T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>
        <f>IF(COUNT(K61:M61)=3,K61*L61*M61,"")</f>
        <v/>
      </c>
      <c r="O61" s="5">
        <f>IF(N61="","",IF(N61&gt;=60,"P0",IF(N61&gt;=30,"P1","P2")))</f>
        <v/>
      </c>
      <c r="P61" s="4" t="n"/>
      <c r="Q61" s="4" t="n"/>
      <c r="R61" s="4" t="n"/>
      <c r="S61" s="4" t="n"/>
      <c r="T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5">
        <f>IF(COUNT(K62:M62)=3,K62*L62*M62,"")</f>
        <v/>
      </c>
      <c r="O62" s="5">
        <f>IF(N62="","",IF(N62&gt;=60,"P0",IF(N62&gt;=30,"P1","P2")))</f>
        <v/>
      </c>
      <c r="P62" s="4" t="n"/>
      <c r="Q62" s="4" t="n"/>
      <c r="R62" s="4" t="n"/>
      <c r="S62" s="4" t="n"/>
      <c r="T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>
        <f>IF(COUNT(K63:M63)=3,K63*L63*M63,"")</f>
        <v/>
      </c>
      <c r="O63" s="5">
        <f>IF(N63="","",IF(N63&gt;=60,"P0",IF(N63&gt;=30,"P1","P2")))</f>
        <v/>
      </c>
      <c r="P63" s="4" t="n"/>
      <c r="Q63" s="4" t="n"/>
      <c r="R63" s="4" t="n"/>
      <c r="S63" s="4" t="n"/>
      <c r="T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5">
        <f>IF(COUNT(K64:M64)=3,K64*L64*M64,"")</f>
        <v/>
      </c>
      <c r="O64" s="5">
        <f>IF(N64="","",IF(N64&gt;=60,"P0",IF(N64&gt;=30,"P1","P2")))</f>
        <v/>
      </c>
      <c r="P64" s="4" t="n"/>
      <c r="Q64" s="4" t="n"/>
      <c r="R64" s="4" t="n"/>
      <c r="S64" s="4" t="n"/>
      <c r="T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>
        <f>IF(COUNT(K65:M65)=3,K65*L65*M65,"")</f>
        <v/>
      </c>
      <c r="O65" s="5">
        <f>IF(N65="","",IF(N65&gt;=60,"P0",IF(N65&gt;=30,"P1","P2")))</f>
        <v/>
      </c>
      <c r="P65" s="4" t="n"/>
      <c r="Q65" s="4" t="n"/>
      <c r="R65" s="4" t="n"/>
      <c r="S65" s="4" t="n"/>
      <c r="T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>
        <f>IF(COUNT(K66:M66)=3,K66*L66*M66,"")</f>
        <v/>
      </c>
      <c r="O66" s="5">
        <f>IF(N66="","",IF(N66&gt;=60,"P0",IF(N66&gt;=30,"P1","P2")))</f>
        <v/>
      </c>
      <c r="P66" s="4" t="n"/>
      <c r="Q66" s="4" t="n"/>
      <c r="R66" s="4" t="n"/>
      <c r="S66" s="4" t="n"/>
      <c r="T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>
        <f>IF(COUNT(K67:M67)=3,K67*L67*M67,"")</f>
        <v/>
      </c>
      <c r="O67" s="5">
        <f>IF(N67="","",IF(N67&gt;=60,"P0",IF(N67&gt;=30,"P1","P2")))</f>
        <v/>
      </c>
      <c r="P67" s="4" t="n"/>
      <c r="Q67" s="4" t="n"/>
      <c r="R67" s="4" t="n"/>
      <c r="S67" s="4" t="n"/>
      <c r="T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5">
        <f>IF(COUNT(K68:M68)=3,K68*L68*M68,"")</f>
        <v/>
      </c>
      <c r="O68" s="5">
        <f>IF(N68="","",IF(N68&gt;=60,"P0",IF(N68&gt;=30,"P1","P2")))</f>
        <v/>
      </c>
      <c r="P68" s="4" t="n"/>
      <c r="Q68" s="4" t="n"/>
      <c r="R68" s="4" t="n"/>
      <c r="S68" s="4" t="n"/>
      <c r="T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>
        <f>IF(COUNT(K69:M69)=3,K69*L69*M69,"")</f>
        <v/>
      </c>
      <c r="O69" s="5">
        <f>IF(N69="","",IF(N69&gt;=60,"P0",IF(N69&gt;=30,"P1","P2")))</f>
        <v/>
      </c>
      <c r="P69" s="4" t="n"/>
      <c r="Q69" s="4" t="n"/>
      <c r="R69" s="4" t="n"/>
      <c r="S69" s="4" t="n"/>
      <c r="T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5">
        <f>IF(COUNT(K70:M70)=3,K70*L70*M70,"")</f>
        <v/>
      </c>
      <c r="O70" s="5">
        <f>IF(N70="","",IF(N70&gt;=60,"P0",IF(N70&gt;=30,"P1","P2")))</f>
        <v/>
      </c>
      <c r="P70" s="4" t="n"/>
      <c r="Q70" s="4" t="n"/>
      <c r="R70" s="4" t="n"/>
      <c r="S70" s="4" t="n"/>
      <c r="T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>
        <f>IF(COUNT(K71:M71)=3,K71*L71*M71,"")</f>
        <v/>
      </c>
      <c r="O71" s="5">
        <f>IF(N71="","",IF(N71&gt;=60,"P0",IF(N71&gt;=30,"P1","P2")))</f>
        <v/>
      </c>
      <c r="P71" s="4" t="n"/>
      <c r="Q71" s="4" t="n"/>
      <c r="R71" s="4" t="n"/>
      <c r="S71" s="4" t="n"/>
      <c r="T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5">
        <f>IF(COUNT(K72:M72)=3,K72*L72*M72,"")</f>
        <v/>
      </c>
      <c r="O72" s="5">
        <f>IF(N72="","",IF(N72&gt;=60,"P0",IF(N72&gt;=30,"P1","P2")))</f>
        <v/>
      </c>
      <c r="P72" s="4" t="n"/>
      <c r="Q72" s="4" t="n"/>
      <c r="R72" s="4" t="n"/>
      <c r="S72" s="4" t="n"/>
      <c r="T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>
        <f>IF(COUNT(K73:M73)=3,K73*L73*M73,"")</f>
        <v/>
      </c>
      <c r="O73" s="5">
        <f>IF(N73="","",IF(N73&gt;=60,"P0",IF(N73&gt;=30,"P1","P2")))</f>
        <v/>
      </c>
      <c r="P73" s="4" t="n"/>
      <c r="Q73" s="4" t="n"/>
      <c r="R73" s="4" t="n"/>
      <c r="S73" s="4" t="n"/>
      <c r="T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5">
        <f>IF(COUNT(K74:M74)=3,K74*L74*M74,"")</f>
        <v/>
      </c>
      <c r="O74" s="5">
        <f>IF(N74="","",IF(N74&gt;=60,"P0",IF(N74&gt;=30,"P1","P2")))</f>
        <v/>
      </c>
      <c r="P74" s="4" t="n"/>
      <c r="Q74" s="4" t="n"/>
      <c r="R74" s="4" t="n"/>
      <c r="S74" s="4" t="n"/>
      <c r="T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>
        <f>IF(COUNT(K75:M75)=3,K75*L75*M75,"")</f>
        <v/>
      </c>
      <c r="O75" s="5">
        <f>IF(N75="","",IF(N75&gt;=60,"P0",IF(N75&gt;=30,"P1","P2")))</f>
        <v/>
      </c>
      <c r="P75" s="4" t="n"/>
      <c r="Q75" s="4" t="n"/>
      <c r="R75" s="4" t="n"/>
      <c r="S75" s="4" t="n"/>
      <c r="T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>
        <f>IF(COUNT(K76:M76)=3,K76*L76*M76,"")</f>
        <v/>
      </c>
      <c r="O76" s="5">
        <f>IF(N76="","",IF(N76&gt;=60,"P0",IF(N76&gt;=30,"P1","P2")))</f>
        <v/>
      </c>
      <c r="P76" s="4" t="n"/>
      <c r="Q76" s="4" t="n"/>
      <c r="R76" s="4" t="n"/>
      <c r="S76" s="4" t="n"/>
      <c r="T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5">
        <f>IF(COUNT(K77:M77)=3,K77*L77*M77,"")</f>
        <v/>
      </c>
      <c r="O77" s="5">
        <f>IF(N77="","",IF(N77&gt;=60,"P0",IF(N77&gt;=30,"P1","P2")))</f>
        <v/>
      </c>
      <c r="P77" s="4" t="n"/>
      <c r="Q77" s="4" t="n"/>
      <c r="R77" s="4" t="n"/>
      <c r="S77" s="4" t="n"/>
      <c r="T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5">
        <f>IF(COUNT(K78:M78)=3,K78*L78*M78,"")</f>
        <v/>
      </c>
      <c r="O78" s="5">
        <f>IF(N78="","",IF(N78&gt;=60,"P0",IF(N78&gt;=30,"P1","P2")))</f>
        <v/>
      </c>
      <c r="P78" s="4" t="n"/>
      <c r="Q78" s="4" t="n"/>
      <c r="R78" s="4" t="n"/>
      <c r="S78" s="4" t="n"/>
      <c r="T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5">
        <f>IF(COUNT(K79:M79)=3,K79*L79*M79,"")</f>
        <v/>
      </c>
      <c r="O79" s="5">
        <f>IF(N79="","",IF(N79&gt;=60,"P0",IF(N79&gt;=30,"P1","P2")))</f>
        <v/>
      </c>
      <c r="P79" s="4" t="n"/>
      <c r="Q79" s="4" t="n"/>
      <c r="R79" s="4" t="n"/>
      <c r="S79" s="4" t="n"/>
      <c r="T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5">
        <f>IF(COUNT(K80:M80)=3,K80*L80*M80,"")</f>
        <v/>
      </c>
      <c r="O80" s="5">
        <f>IF(N80="","",IF(N80&gt;=60,"P0",IF(N80&gt;=30,"P1","P2")))</f>
        <v/>
      </c>
      <c r="P80" s="4" t="n"/>
      <c r="Q80" s="4" t="n"/>
      <c r="R80" s="4" t="n"/>
      <c r="S80" s="4" t="n"/>
      <c r="T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>
        <f>IF(COUNT(K81:M81)=3,K81*L81*M81,"")</f>
        <v/>
      </c>
      <c r="O81" s="5">
        <f>IF(N81="","",IF(N81&gt;=60,"P0",IF(N81&gt;=30,"P1","P2")))</f>
        <v/>
      </c>
      <c r="P81" s="4" t="n"/>
      <c r="Q81" s="4" t="n"/>
      <c r="R81" s="4" t="n"/>
      <c r="S81" s="4" t="n"/>
      <c r="T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5">
        <f>IF(COUNT(K82:M82)=3,K82*L82*M82,"")</f>
        <v/>
      </c>
      <c r="O82" s="5">
        <f>IF(N82="","",IF(N82&gt;=60,"P0",IF(N82&gt;=30,"P1","P2")))</f>
        <v/>
      </c>
      <c r="P82" s="4" t="n"/>
      <c r="Q82" s="4" t="n"/>
      <c r="R82" s="4" t="n"/>
      <c r="S82" s="4" t="n"/>
      <c r="T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5">
        <f>IF(COUNT(K83:M83)=3,K83*L83*M83,"")</f>
        <v/>
      </c>
      <c r="O83" s="5">
        <f>IF(N83="","",IF(N83&gt;=60,"P0",IF(N83&gt;=30,"P1","P2")))</f>
        <v/>
      </c>
      <c r="P83" s="4" t="n"/>
      <c r="Q83" s="4" t="n"/>
      <c r="R83" s="4" t="n"/>
      <c r="S83" s="4" t="n"/>
      <c r="T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5">
        <f>IF(COUNT(K84:M84)=3,K84*L84*M84,"")</f>
        <v/>
      </c>
      <c r="O84" s="5">
        <f>IF(N84="","",IF(N84&gt;=60,"P0",IF(N84&gt;=30,"P1","P2")))</f>
        <v/>
      </c>
      <c r="P84" s="4" t="n"/>
      <c r="Q84" s="4" t="n"/>
      <c r="R84" s="4" t="n"/>
      <c r="S84" s="4" t="n"/>
      <c r="T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>
        <f>IF(COUNT(K85:M85)=3,K85*L85*M85,"")</f>
        <v/>
      </c>
      <c r="O85" s="5">
        <f>IF(N85="","",IF(N85&gt;=60,"P0",IF(N85&gt;=30,"P1","P2")))</f>
        <v/>
      </c>
      <c r="P85" s="4" t="n"/>
      <c r="Q85" s="4" t="n"/>
      <c r="R85" s="4" t="n"/>
      <c r="S85" s="4" t="n"/>
      <c r="T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5">
        <f>IF(COUNT(K86:M86)=3,K86*L86*M86,"")</f>
        <v/>
      </c>
      <c r="O86" s="5">
        <f>IF(N86="","",IF(N86&gt;=60,"P0",IF(N86&gt;=30,"P1","P2")))</f>
        <v/>
      </c>
      <c r="P86" s="4" t="n"/>
      <c r="Q86" s="4" t="n"/>
      <c r="R86" s="4" t="n"/>
      <c r="S86" s="4" t="n"/>
      <c r="T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>
        <f>IF(COUNT(K87:M87)=3,K87*L87*M87,"")</f>
        <v/>
      </c>
      <c r="O87" s="5">
        <f>IF(N87="","",IF(N87&gt;=60,"P0",IF(N87&gt;=30,"P1","P2")))</f>
        <v/>
      </c>
      <c r="P87" s="4" t="n"/>
      <c r="Q87" s="4" t="n"/>
      <c r="R87" s="4" t="n"/>
      <c r="S87" s="4" t="n"/>
      <c r="T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5">
        <f>IF(COUNT(K88:M88)=3,K88*L88*M88,"")</f>
        <v/>
      </c>
      <c r="O88" s="5">
        <f>IF(N88="","",IF(N88&gt;=60,"P0",IF(N88&gt;=30,"P1","P2")))</f>
        <v/>
      </c>
      <c r="P88" s="4" t="n"/>
      <c r="Q88" s="4" t="n"/>
      <c r="R88" s="4" t="n"/>
      <c r="S88" s="4" t="n"/>
      <c r="T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5">
        <f>IF(COUNT(K89:M89)=3,K89*L89*M89,"")</f>
        <v/>
      </c>
      <c r="O89" s="5">
        <f>IF(N89="","",IF(N89&gt;=60,"P0",IF(N89&gt;=30,"P1","P2")))</f>
        <v/>
      </c>
      <c r="P89" s="4" t="n"/>
      <c r="Q89" s="4" t="n"/>
      <c r="R89" s="4" t="n"/>
      <c r="S89" s="4" t="n"/>
      <c r="T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5">
        <f>IF(COUNT(K90:M90)=3,K90*L90*M90,"")</f>
        <v/>
      </c>
      <c r="O90" s="5">
        <f>IF(N90="","",IF(N90&gt;=60,"P0",IF(N90&gt;=30,"P1","P2")))</f>
        <v/>
      </c>
      <c r="P90" s="4" t="n"/>
      <c r="Q90" s="4" t="n"/>
      <c r="R90" s="4" t="n"/>
      <c r="S90" s="4" t="n"/>
      <c r="T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5">
        <f>IF(COUNT(K91:M91)=3,K91*L91*M91,"")</f>
        <v/>
      </c>
      <c r="O91" s="5">
        <f>IF(N91="","",IF(N91&gt;=60,"P0",IF(N91&gt;=30,"P1","P2")))</f>
        <v/>
      </c>
      <c r="P91" s="4" t="n"/>
      <c r="Q91" s="4" t="n"/>
      <c r="R91" s="4" t="n"/>
      <c r="S91" s="4" t="n"/>
      <c r="T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5">
        <f>IF(COUNT(K92:M92)=3,K92*L92*M92,"")</f>
        <v/>
      </c>
      <c r="O92" s="5">
        <f>IF(N92="","",IF(N92&gt;=60,"P0",IF(N92&gt;=30,"P1","P2")))</f>
        <v/>
      </c>
      <c r="P92" s="4" t="n"/>
      <c r="Q92" s="4" t="n"/>
      <c r="R92" s="4" t="n"/>
      <c r="S92" s="4" t="n"/>
      <c r="T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5">
        <f>IF(COUNT(K93:M93)=3,K93*L93*M93,"")</f>
        <v/>
      </c>
      <c r="O93" s="5">
        <f>IF(N93="","",IF(N93&gt;=60,"P0",IF(N93&gt;=30,"P1","P2")))</f>
        <v/>
      </c>
      <c r="P93" s="4" t="n"/>
      <c r="Q93" s="4" t="n"/>
      <c r="R93" s="4" t="n"/>
      <c r="S93" s="4" t="n"/>
      <c r="T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>
        <f>IF(COUNT(K94:M94)=3,K94*L94*M94,"")</f>
        <v/>
      </c>
      <c r="O94" s="5">
        <f>IF(N94="","",IF(N94&gt;=60,"P0",IF(N94&gt;=30,"P1","P2")))</f>
        <v/>
      </c>
      <c r="P94" s="4" t="n"/>
      <c r="Q94" s="4" t="n"/>
      <c r="R94" s="4" t="n"/>
      <c r="S94" s="4" t="n"/>
      <c r="T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5">
        <f>IF(COUNT(K95:M95)=3,K95*L95*M95,"")</f>
        <v/>
      </c>
      <c r="O95" s="5">
        <f>IF(N95="","",IF(N95&gt;=60,"P0",IF(N95&gt;=30,"P1","P2")))</f>
        <v/>
      </c>
      <c r="P95" s="4" t="n"/>
      <c r="Q95" s="4" t="n"/>
      <c r="R95" s="4" t="n"/>
      <c r="S95" s="4" t="n"/>
      <c r="T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5">
        <f>IF(COUNT(K96:M96)=3,K96*L96*M96,"")</f>
        <v/>
      </c>
      <c r="O96" s="5">
        <f>IF(N96="","",IF(N96&gt;=60,"P0",IF(N96&gt;=30,"P1","P2")))</f>
        <v/>
      </c>
      <c r="P96" s="4" t="n"/>
      <c r="Q96" s="4" t="n"/>
      <c r="R96" s="4" t="n"/>
      <c r="S96" s="4" t="n"/>
      <c r="T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5">
        <f>IF(COUNT(K97:M97)=3,K97*L97*M97,"")</f>
        <v/>
      </c>
      <c r="O97" s="5">
        <f>IF(N97="","",IF(N97&gt;=60,"P0",IF(N97&gt;=30,"P1","P2")))</f>
        <v/>
      </c>
      <c r="P97" s="4" t="n"/>
      <c r="Q97" s="4" t="n"/>
      <c r="R97" s="4" t="n"/>
      <c r="S97" s="4" t="n"/>
      <c r="T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5">
        <f>IF(COUNT(K98:M98)=3,K98*L98*M98,"")</f>
        <v/>
      </c>
      <c r="O98" s="5">
        <f>IF(N98="","",IF(N98&gt;=60,"P0",IF(N98&gt;=30,"P1","P2")))</f>
        <v/>
      </c>
      <c r="P98" s="4" t="n"/>
      <c r="Q98" s="4" t="n"/>
      <c r="R98" s="4" t="n"/>
      <c r="S98" s="4" t="n"/>
      <c r="T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5">
        <f>IF(COUNT(K99:M99)=3,K99*L99*M99,"")</f>
        <v/>
      </c>
      <c r="O99" s="5">
        <f>IF(N99="","",IF(N99&gt;=60,"P0",IF(N99&gt;=30,"P1","P2")))</f>
        <v/>
      </c>
      <c r="P99" s="4" t="n"/>
      <c r="Q99" s="4" t="n"/>
      <c r="R99" s="4" t="n"/>
      <c r="S99" s="4" t="n"/>
      <c r="T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5">
        <f>IF(COUNT(K100:M100)=3,K100*L100*M100,"")</f>
        <v/>
      </c>
      <c r="O100" s="5">
        <f>IF(N100="","",IF(N100&gt;=60,"P0",IF(N100&gt;=30,"P1","P2")))</f>
        <v/>
      </c>
      <c r="P100" s="4" t="n"/>
      <c r="Q100" s="4" t="n"/>
      <c r="R100" s="4" t="n"/>
      <c r="S100" s="4" t="n"/>
      <c r="T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5">
        <f>IF(COUNT(K101:M101)=3,K101*L101*M101,"")</f>
        <v/>
      </c>
      <c r="O101" s="5">
        <f>IF(N101="","",IF(N101&gt;=60,"P0",IF(N101&gt;=30,"P1","P2")))</f>
        <v/>
      </c>
      <c r="P101" s="4" t="n"/>
      <c r="Q101" s="4" t="n"/>
      <c r="R101" s="4" t="n"/>
      <c r="S101" s="4" t="n"/>
      <c r="T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5">
        <f>IF(COUNT(K102:M102)=3,K102*L102*M102,"")</f>
        <v/>
      </c>
      <c r="O102" s="5">
        <f>IF(N102="","",IF(N102&gt;=60,"P0",IF(N102&gt;=30,"P1","P2")))</f>
        <v/>
      </c>
      <c r="P102" s="4" t="n"/>
      <c r="Q102" s="4" t="n"/>
      <c r="R102" s="4" t="n"/>
      <c r="S102" s="4" t="n"/>
      <c r="T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>
        <f>IF(COUNT(K103:M103)=3,K103*L103*M103,"")</f>
        <v/>
      </c>
      <c r="O103" s="5">
        <f>IF(N103="","",IF(N103&gt;=60,"P0",IF(N103&gt;=30,"P1","P2")))</f>
        <v/>
      </c>
      <c r="P103" s="4" t="n"/>
      <c r="Q103" s="4" t="n"/>
      <c r="R103" s="4" t="n"/>
      <c r="S103" s="4" t="n"/>
      <c r="T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5">
        <f>IF(COUNT(K104:M104)=3,K104*L104*M104,"")</f>
        <v/>
      </c>
      <c r="O104" s="5">
        <f>IF(N104="","",IF(N104&gt;=60,"P0",IF(N104&gt;=30,"P1","P2")))</f>
        <v/>
      </c>
      <c r="P104" s="4" t="n"/>
      <c r="Q104" s="4" t="n"/>
      <c r="R104" s="4" t="n"/>
      <c r="S104" s="4" t="n"/>
      <c r="T104" s="4" t="n"/>
    </row>
  </sheetData>
  <mergeCells count="2">
    <mergeCell ref="A1:T1"/>
    <mergeCell ref="A2:T2"/>
  </mergeCells>
  <conditionalFormatting sqref="O5:O104">
    <cfRule type="cellIs" priority="1" operator="equal" dxfId="0">
      <formula>"P0"</formula>
    </cfRule>
    <cfRule type="cellIs" priority="2" operator="equal" dxfId="1">
      <formula>"P1"</formula>
    </cfRule>
  </conditionalFormatting>
  <conditionalFormatting sqref="A5:T104">
    <cfRule type="expression" priority="3" dxfId="2">
      <formula>$Q5="已逝未采"</formula>
    </cfRule>
  </conditionalFormatting>
  <dataValidations count="6">
    <dataValidation sqref="C5:C104" showDropDown="0" showInputMessage="0" showErrorMessage="0" allowBlank="1" type="list">
      <formula1>=选项字典!$A$2:$A$9</formula1>
    </dataValidation>
    <dataValidation sqref="H5:H104" showDropDown="0" showInputMessage="0" showErrorMessage="0" allowBlank="1" type="list">
      <formula1>=选项字典!$B$2:$B$4</formula1>
    </dataValidation>
    <dataValidation sqref="I5:I104" showDropDown="0" showInputMessage="0" showErrorMessage="0" allowBlank="1" type="list">
      <formula1>=选项字典!$C$2:$C$4</formula1>
    </dataValidation>
    <dataValidation sqref="K5:K104 L5:L104 M5:M104" showDropDown="0" showInputMessage="0" showErrorMessage="0" allowBlank="1" type="list">
      <formula1>=选项字典!$D$2:$D$6</formula1>
    </dataValidation>
    <dataValidation sqref="P5:P104" showDropDown="0" showInputMessage="0" showErrorMessage="0" allowBlank="1" type="list">
      <formula1>=选项字典!$E$2:$E$4</formula1>
    </dataValidation>
    <dataValidation sqref="Q5:Q104" showDropDown="0" showInputMessage="0" showErrorMessage="0" allowBlank="1" type="list">
      <formula1>=选项字典!$F$2:$F$5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24" customWidth="1" min="12" max="12"/>
  </cols>
  <sheetData>
    <row r="1" ht="26" customHeight="1">
      <c r="A1" s="1" t="inlineStr">
        <is>
          <t>访谈进度跟踪（四轮制）</t>
        </is>
      </c>
    </row>
    <row r="2">
      <c r="A2" s="2" t="inlineStr">
        <is>
          <t>四轮日期列填实际完成日期；核稿确认率=核稿确认条目数÷候选条目数，未核稿确认的条目不得进知识包。</t>
        </is>
      </c>
    </row>
    <row r="4">
      <c r="A4" s="3" t="inlineStr">
        <is>
          <t>expert_id</t>
        </is>
      </c>
      <c r="B4" s="3" t="inlineStr">
        <is>
          <t>姓名</t>
        </is>
      </c>
      <c r="C4" s="3" t="inlineStr">
        <is>
          <t>授权书签署日期</t>
        </is>
      </c>
      <c r="D4" s="3" t="inlineStr">
        <is>
          <t>第1轮初访</t>
        </is>
      </c>
      <c r="E4" s="3" t="inlineStr">
        <is>
          <t>第2轮深访</t>
        </is>
      </c>
      <c r="F4" s="3" t="inlineStr">
        <is>
          <t>第3轮案例复盘</t>
        </is>
      </c>
      <c r="G4" s="3" t="inlineStr">
        <is>
          <t>第4轮核稿</t>
        </is>
      </c>
      <c r="H4" s="3" t="inlineStr">
        <is>
          <t>逐字稿份数</t>
        </is>
      </c>
      <c r="I4" s="3" t="inlineStr">
        <is>
          <t>候选条目数</t>
        </is>
      </c>
      <c r="J4" s="3" t="inlineStr">
        <is>
          <t>核稿确认条目数</t>
        </is>
      </c>
      <c r="K4" s="3" t="inlineStr">
        <is>
          <t>核稿确认率</t>
        </is>
      </c>
      <c r="L4" s="3" t="inlineStr">
        <is>
          <t>状态备注</t>
        </is>
      </c>
    </row>
    <row r="5">
      <c r="A5" s="4" t="inlineStr">
        <is>
          <t>exp-tcm-示例-001</t>
        </is>
      </c>
      <c r="B5" s="4" t="inlineStr">
        <is>
          <t>张某</t>
        </is>
      </c>
      <c r="C5" s="4" t="inlineStr">
        <is>
          <t>2026-10-10</t>
        </is>
      </c>
      <c r="D5" s="4" t="inlineStr">
        <is>
          <t>2026-10-15</t>
        </is>
      </c>
      <c r="E5" s="4" t="n"/>
      <c r="F5" s="4" t="n"/>
      <c r="G5" s="4" t="n"/>
      <c r="H5" s="4" t="n">
        <v>1</v>
      </c>
      <c r="I5" s="4" t="n">
        <v>12</v>
      </c>
      <c r="J5" s="4" t="n">
        <v>9</v>
      </c>
      <c r="K5" s="6">
        <f>IF(OR(I5="",I5=0),"",J5/I5)</f>
        <v/>
      </c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6">
        <f>IF(OR(I6="",I6=0),"",J6/I6)</f>
        <v/>
      </c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>
        <f>IF(OR(I7="",I7=0),"",J7/I7)</f>
        <v/>
      </c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6">
        <f>IF(OR(I8="",I8=0),"",J8/I8)</f>
        <v/>
      </c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6">
        <f>IF(OR(I9="",I9=0),"",J9/I9)</f>
        <v/>
      </c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6">
        <f>IF(OR(I10="",I10=0),"",J10/I10)</f>
        <v/>
      </c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6">
        <f>IF(OR(I11="",I11=0),"",J11/I11)</f>
        <v/>
      </c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6">
        <f>IF(OR(I12="",I12=0),"",J12/I12)</f>
        <v/>
      </c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6">
        <f>IF(OR(I13="",I13=0),"",J13/I13)</f>
        <v/>
      </c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6">
        <f>IF(OR(I14="",I14=0),"",J14/I14)</f>
        <v/>
      </c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6">
        <f>IF(OR(I15="",I15=0),"",J15/I15)</f>
        <v/>
      </c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6">
        <f>IF(OR(I16="",I16=0),"",J16/I16)</f>
        <v/>
      </c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6">
        <f>IF(OR(I17="",I17=0),"",J17/I17)</f>
        <v/>
      </c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6">
        <f>IF(OR(I18="",I18=0),"",J18/I18)</f>
        <v/>
      </c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6">
        <f>IF(OR(I19="",I19=0),"",J19/I19)</f>
        <v/>
      </c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6">
        <f>IF(OR(I20="",I20=0),"",J20/I20)</f>
        <v/>
      </c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6">
        <f>IF(OR(I21="",I21=0),"",J21/I21)</f>
        <v/>
      </c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6">
        <f>IF(OR(I22="",I22=0),"",J22/I22)</f>
        <v/>
      </c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6">
        <f>IF(OR(I23="",I23=0),"",J23/I23)</f>
        <v/>
      </c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6">
        <f>IF(OR(I24="",I24=0),"",J24/I24)</f>
        <v/>
      </c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6">
        <f>IF(OR(I25="",I25=0),"",J25/I25)</f>
        <v/>
      </c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6">
        <f>IF(OR(I26="",I26=0),"",J26/I26)</f>
        <v/>
      </c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6">
        <f>IF(OR(I27="",I27=0),"",J27/I27)</f>
        <v/>
      </c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6">
        <f>IF(OR(I28="",I28=0),"",J28/I28)</f>
        <v/>
      </c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6">
        <f>IF(OR(I29="",I29=0),"",J29/I29)</f>
        <v/>
      </c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6">
        <f>IF(OR(I30="",I30=0),"",J30/I30)</f>
        <v/>
      </c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6">
        <f>IF(OR(I31="",I31=0),"",J31/I31)</f>
        <v/>
      </c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6">
        <f>IF(OR(I32="",I32=0),"",J32/I32)</f>
        <v/>
      </c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6">
        <f>IF(OR(I33="",I33=0),"",J33/I33)</f>
        <v/>
      </c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6">
        <f>IF(OR(I34="",I34=0),"",J34/I34)</f>
        <v/>
      </c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6">
        <f>IF(OR(I35="",I35=0),"",J35/I35)</f>
        <v/>
      </c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6">
        <f>IF(OR(I36="",I36=0),"",J36/I36)</f>
        <v/>
      </c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6">
        <f>IF(OR(I37="",I37=0),"",J37/I37)</f>
        <v/>
      </c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6">
        <f>IF(OR(I38="",I38=0),"",J38/I38)</f>
        <v/>
      </c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6">
        <f>IF(OR(I39="",I39=0),"",J39/I39)</f>
        <v/>
      </c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6">
        <f>IF(OR(I40="",I40=0),"",J40/I40)</f>
        <v/>
      </c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6">
        <f>IF(OR(I41="",I41=0),"",J41/I41)</f>
        <v/>
      </c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6">
        <f>IF(OR(I42="",I42=0),"",J42/I42)</f>
        <v/>
      </c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6">
        <f>IF(OR(I43="",I43=0),"",J43/I43)</f>
        <v/>
      </c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6">
        <f>IF(OR(I44="",I44=0),"",J44/I44)</f>
        <v/>
      </c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6">
        <f>IF(OR(I45="",I45=0),"",J45/I45)</f>
        <v/>
      </c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6">
        <f>IF(OR(I46="",I46=0),"",J46/I46)</f>
        <v/>
      </c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6">
        <f>IF(OR(I47="",I47=0),"",J47/I47)</f>
        <v/>
      </c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6">
        <f>IF(OR(I48="",I48=0),"",J48/I48)</f>
        <v/>
      </c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6">
        <f>IF(OR(I49="",I49=0),"",J49/I49)</f>
        <v/>
      </c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6">
        <f>IF(OR(I50="",I50=0),"",J50/I50)</f>
        <v/>
      </c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6">
        <f>IF(OR(I51="",I51=0),"",J51/I51)</f>
        <v/>
      </c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6">
        <f>IF(OR(I52="",I52=0),"",J52/I52)</f>
        <v/>
      </c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6">
        <f>IF(OR(I53="",I53=0),"",J53/I53)</f>
        <v/>
      </c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6">
        <f>IF(OR(I54="",I54=0),"",J54/I54)</f>
        <v/>
      </c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6">
        <f>IF(OR(I55="",I55=0),"",J55/I55)</f>
        <v/>
      </c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6">
        <f>IF(OR(I56="",I56=0),"",J56/I56)</f>
        <v/>
      </c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6">
        <f>IF(OR(I57="",I57=0),"",J57/I57)</f>
        <v/>
      </c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6">
        <f>IF(OR(I58="",I58=0),"",J58/I58)</f>
        <v/>
      </c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6">
        <f>IF(OR(I59="",I59=0),"",J59/I59)</f>
        <v/>
      </c>
      <c r="L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6">
        <f>IF(OR(I60="",I60=0),"",J60/I60)</f>
        <v/>
      </c>
      <c r="L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6">
        <f>IF(OR(I61="",I61=0),"",J61/I61)</f>
        <v/>
      </c>
      <c r="L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6">
        <f>IF(OR(I62="",I62=0),"",J62/I62)</f>
        <v/>
      </c>
      <c r="L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6">
        <f>IF(OR(I63="",I63=0),"",J63/I63)</f>
        <v/>
      </c>
      <c r="L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6">
        <f>IF(OR(I64="",I64=0),"",J64/I64)</f>
        <v/>
      </c>
      <c r="L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6">
        <f>IF(OR(I65="",I65=0),"",J65/I65)</f>
        <v/>
      </c>
      <c r="L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6">
        <f>IF(OR(I66="",I66=0),"",J66/I66)</f>
        <v/>
      </c>
      <c r="L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6">
        <f>IF(OR(I67="",I67=0),"",J67/I67)</f>
        <v/>
      </c>
      <c r="L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6">
        <f>IF(OR(I68="",I68=0),"",J68/I68)</f>
        <v/>
      </c>
      <c r="L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6">
        <f>IF(OR(I69="",I69=0),"",J69/I69)</f>
        <v/>
      </c>
      <c r="L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6">
        <f>IF(OR(I70="",I70=0),"",J70/I70)</f>
        <v/>
      </c>
      <c r="L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6">
        <f>IF(OR(I71="",I71=0),"",J71/I71)</f>
        <v/>
      </c>
      <c r="L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6">
        <f>IF(OR(I72="",I72=0),"",J72/I72)</f>
        <v/>
      </c>
      <c r="L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6">
        <f>IF(OR(I73="",I73=0),"",J73/I73)</f>
        <v/>
      </c>
      <c r="L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6">
        <f>IF(OR(I74="",I74=0),"",J74/I74)</f>
        <v/>
      </c>
      <c r="L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6">
        <f>IF(OR(I75="",I75=0),"",J75/I75)</f>
        <v/>
      </c>
      <c r="L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6">
        <f>IF(OR(I76="",I76=0),"",J76/I76)</f>
        <v/>
      </c>
      <c r="L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6">
        <f>IF(OR(I77="",I77=0),"",J77/I77)</f>
        <v/>
      </c>
      <c r="L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6">
        <f>IF(OR(I78="",I78=0),"",J78/I78)</f>
        <v/>
      </c>
      <c r="L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6">
        <f>IF(OR(I79="",I79=0),"",J79/I79)</f>
        <v/>
      </c>
      <c r="L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6">
        <f>IF(OR(I80="",I80=0),"",J80/I80)</f>
        <v/>
      </c>
      <c r="L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6">
        <f>IF(OR(I81="",I81=0),"",J81/I81)</f>
        <v/>
      </c>
      <c r="L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6">
        <f>IF(OR(I82="",I82=0),"",J82/I82)</f>
        <v/>
      </c>
      <c r="L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6">
        <f>IF(OR(I83="",I83=0),"",J83/I83)</f>
        <v/>
      </c>
      <c r="L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6">
        <f>IF(OR(I84="",I84=0),"",J84/I84)</f>
        <v/>
      </c>
      <c r="L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6">
        <f>IF(OR(I85="",I85=0),"",J85/I85)</f>
        <v/>
      </c>
      <c r="L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6">
        <f>IF(OR(I86="",I86=0),"",J86/I86)</f>
        <v/>
      </c>
      <c r="L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6">
        <f>IF(OR(I87="",I87=0),"",J87/I87)</f>
        <v/>
      </c>
      <c r="L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6">
        <f>IF(OR(I88="",I88=0),"",J88/I88)</f>
        <v/>
      </c>
      <c r="L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6">
        <f>IF(OR(I89="",I89=0),"",J89/I89)</f>
        <v/>
      </c>
      <c r="L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6">
        <f>IF(OR(I90="",I90=0),"",J90/I90)</f>
        <v/>
      </c>
      <c r="L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6">
        <f>IF(OR(I91="",I91=0),"",J91/I91)</f>
        <v/>
      </c>
      <c r="L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6">
        <f>IF(OR(I92="",I92=0),"",J92/I92)</f>
        <v/>
      </c>
      <c r="L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6">
        <f>IF(OR(I93="",I93=0),"",J93/I93)</f>
        <v/>
      </c>
      <c r="L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6">
        <f>IF(OR(I94="",I94=0),"",J94/I94)</f>
        <v/>
      </c>
      <c r="L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6">
        <f>IF(OR(I95="",I95=0),"",J95/I95)</f>
        <v/>
      </c>
      <c r="L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6">
        <f>IF(OR(I96="",I96=0),"",J96/I96)</f>
        <v/>
      </c>
      <c r="L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6">
        <f>IF(OR(I97="",I97=0),"",J97/I97)</f>
        <v/>
      </c>
      <c r="L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6">
        <f>IF(OR(I98="",I98=0),"",J98/I98)</f>
        <v/>
      </c>
      <c r="L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6">
        <f>IF(OR(I99="",I99=0),"",J99/I99)</f>
        <v/>
      </c>
      <c r="L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6">
        <f>IF(OR(I100="",I100=0),"",J100/I100)</f>
        <v/>
      </c>
      <c r="L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6">
        <f>IF(OR(I101="",I101=0),"",J101/I101)</f>
        <v/>
      </c>
      <c r="L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6">
        <f>IF(OR(I102="",I102=0),"",J102/I102)</f>
        <v/>
      </c>
      <c r="L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6">
        <f>IF(OR(I103="",I103=0),"",J103/I103)</f>
        <v/>
      </c>
      <c r="L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6">
        <f>IF(OR(I104="",I104=0),"",J104/I104)</f>
        <v/>
      </c>
      <c r="L104" s="4" t="n"/>
    </row>
  </sheetData>
  <mergeCells count="2">
    <mergeCell ref="A2:L2"/>
    <mergeCell ref="A1:L1"/>
  </mergeCells>
  <conditionalFormatting sqref="K5:K104">
    <cfRule type="dataBar" priority="1">
      <dataBar showValue="1">
        <cfvo type="num" val="0"/>
        <cfvo type="num" val="1"/>
        <color rgb="0030549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6" customHeight="1">
      <c r="A1" s="1" t="inlineStr">
        <is>
          <t>评分标准与阈值</t>
        </is>
      </c>
    </row>
    <row r="3" ht="20" customHeight="1">
      <c r="A3" s="7" t="inlineStr">
        <is>
          <t>维度</t>
        </is>
      </c>
      <c r="B3" s="8" t="inlineStr">
        <is>
          <t>评分标准</t>
        </is>
      </c>
    </row>
    <row r="4" ht="34" customHeight="1">
      <c r="A4" s="9" t="inlineStr">
        <is>
          <t>不可替代性(1-5)</t>
        </is>
      </c>
      <c r="B4" s="10" t="inlineStr">
        <is>
          <t>5=完全口口相传、无任何文献记载；4=文献仅提及只言片语；3=文献有框架但无细节；2=文献较完整但有个体独到经验；1=基本已见诸公开出版物</t>
        </is>
      </c>
    </row>
    <row r="5" ht="34" customHeight="1">
      <c r="A5" s="9" t="inlineStr">
        <is>
          <t>时限风险(1-5)</t>
        </is>
      </c>
      <c r="B5" s="10" t="inlineStr">
        <is>
          <t>5=≥85 岁或健康差；4=75–84 岁或健康中；3=65–74 岁；2=55–64 岁；1=&lt;55 岁且健康好</t>
        </is>
      </c>
    </row>
    <row r="6" ht="34" customHeight="1">
      <c r="A6" s="9" t="inlineStr">
        <is>
          <t>缺口匹配度(1-5)</t>
        </is>
      </c>
      <c r="B6" s="10" t="inlineStr">
        <is>
          <t>5=覆盖知识库完全空白的核心域；4=覆盖空白较多的重要域；3=部分补充现有体系；2=与现有条目有重叠但角度不同；1=基本重复</t>
        </is>
      </c>
    </row>
    <row r="7" ht="34" customHeight="1">
      <c r="A7" s="9" t="inlineStr">
        <is>
          <t>优先级得分</t>
        </is>
      </c>
      <c r="B7" s="10" t="inlineStr">
        <is>
          <t>得分=不可替代性×时限风险×缺口匹配度（自动计算）。P0≥60：本季度必采；P1 30–59：半年内；P2&lt;30：年度内</t>
        </is>
      </c>
    </row>
    <row r="8" ht="34" customHeight="1">
      <c r="A8" s="9" t="inlineStr">
        <is>
          <t>四轮访谈制</t>
        </is>
      </c>
      <c r="B8" s="10" t="inlineStr">
        <is>
          <t>第1轮初访：建立信任+师承谱系+签授权书；第2轮深访：心法+术语+勘误案例；第3轮案例复盘：3–5 个完整案例；第4轮核稿：专家逐条确认，签字后条目方可标 expert_verified=true</t>
        </is>
      </c>
    </row>
    <row r="9" ht="34" customHeight="1">
      <c r="A9" s="9" t="inlineStr">
        <is>
          <t>硬性规则</t>
        </is>
      </c>
      <c r="B9" s="10" t="inlineStr">
        <is>
          <t>①每条提炼规则必须记录失效条件；②expert_verified=false 的条目不得进知识包；③授权书未签不得启动访谈；④已逝未采专家转入永久损失清单，每季度通报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领域</t>
        </is>
      </c>
      <c r="B1" s="11" t="inlineStr">
        <is>
          <t>健康状况</t>
        </is>
      </c>
      <c r="C1" s="11" t="inlineStr">
        <is>
          <t>可及性</t>
        </is>
      </c>
      <c r="D1" s="11" t="inlineStr">
        <is>
          <t>评分1-5</t>
        </is>
      </c>
      <c r="E1" s="11" t="inlineStr">
        <is>
          <t>授权状态</t>
        </is>
      </c>
      <c r="F1" s="11" t="inlineStr">
        <is>
          <t>访谈状态</t>
        </is>
      </c>
    </row>
    <row r="2">
      <c r="A2" s="12" t="inlineStr">
        <is>
          <t>中医-内科</t>
        </is>
      </c>
      <c r="B2" s="12" t="inlineStr">
        <is>
          <t>好</t>
        </is>
      </c>
      <c r="C2" s="12" t="inlineStr">
        <is>
          <t>愿意</t>
        </is>
      </c>
      <c r="D2" s="12" t="n">
        <v>1</v>
      </c>
      <c r="E2" s="12" t="inlineStr">
        <is>
          <t>未签</t>
        </is>
      </c>
      <c r="F2" s="12" t="inlineStr">
        <is>
          <t>待启动</t>
        </is>
      </c>
    </row>
    <row r="3">
      <c r="A3" s="12" t="inlineStr">
        <is>
          <t>中医-针灸</t>
        </is>
      </c>
      <c r="B3" s="12" t="inlineStr">
        <is>
          <t>中</t>
        </is>
      </c>
      <c r="C3" s="12" t="inlineStr">
        <is>
          <t>待定</t>
        </is>
      </c>
      <c r="D3" s="12" t="n">
        <v>2</v>
      </c>
      <c r="E3" s="12" t="inlineStr">
        <is>
          <t>已签</t>
        </is>
      </c>
      <c r="F3" s="12" t="inlineStr">
        <is>
          <t>进行中</t>
        </is>
      </c>
    </row>
    <row r="4">
      <c r="A4" s="12" t="inlineStr">
        <is>
          <t>中医-方药</t>
        </is>
      </c>
      <c r="B4" s="12" t="inlineStr">
        <is>
          <t>差</t>
        </is>
      </c>
      <c r="C4" s="12" t="inlineStr">
        <is>
          <t>拒绝</t>
        </is>
      </c>
      <c r="D4" s="12" t="n">
        <v>3</v>
      </c>
      <c r="E4" s="12" t="inlineStr">
        <is>
          <t>拒绝</t>
        </is>
      </c>
      <c r="F4" s="12" t="inlineStr">
        <is>
          <t>已完成</t>
        </is>
      </c>
    </row>
    <row r="5">
      <c r="A5" s="12" t="inlineStr">
        <is>
          <t>中医-外治</t>
        </is>
      </c>
      <c r="D5" s="12" t="n">
        <v>4</v>
      </c>
      <c r="F5" s="12" t="inlineStr">
        <is>
          <t>已逝未采</t>
        </is>
      </c>
    </row>
    <row r="6">
      <c r="A6" s="12" t="inlineStr">
        <is>
          <t>命理-子平</t>
        </is>
      </c>
      <c r="D6" s="12" t="n">
        <v>5</v>
      </c>
    </row>
    <row r="7">
      <c r="A7" s="12" t="inlineStr">
        <is>
          <t>命理-紫微</t>
        </is>
      </c>
    </row>
    <row r="8">
      <c r="A8" s="12" t="inlineStr">
        <is>
          <t>命理-相学</t>
        </is>
      </c>
    </row>
    <row r="9">
      <c r="A9" s="12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2026-10-09T01:00:18Z</dcterms:created>
  <dcterms:modified xmlns:dcterms="http://purl.org/dc/terms/" xmlns:xsi="http://www.w3.org/2001/XMLSchema-instance" xsi:type="dcterms:W3CDTF">2026-10-09T01:00:18Z</dcterms:modified>
</cp:coreProperties>
</file>